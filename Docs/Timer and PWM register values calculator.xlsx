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riquemercader/Local/Organize/Website Content/[2] Projects Content/2. Variable Frequency Drive/Code/"/>
    </mc:Choice>
  </mc:AlternateContent>
  <xr:revisionPtr revIDLastSave="0" documentId="13_ncr:1_{C6A5975A-65C8-6145-ABAE-A56BC312DF40}" xr6:coauthVersionLast="47" xr6:coauthVersionMax="47" xr10:uidLastSave="{00000000-0000-0000-0000-000000000000}"/>
  <bookViews>
    <workbookView xWindow="0" yWindow="660" windowWidth="23260" windowHeight="18600" xr2:uid="{6E3FCA6A-6CEB-4219-A05A-58099BC02167}"/>
  </bookViews>
  <sheets>
    <sheet name="40Mhz" sheetId="3" r:id="rId1"/>
    <sheet name="32KHz" sheetId="4" r:id="rId2"/>
  </sheets>
  <definedNames>
    <definedName name="result" localSheetId="0">'40Mhz'!$R$28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4" l="1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22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6" i="4"/>
  <c r="L44" i="4"/>
  <c r="M44" i="4" s="1"/>
  <c r="L43" i="4"/>
  <c r="M43" i="4" s="1"/>
  <c r="L42" i="4"/>
  <c r="M42" i="4" s="1"/>
  <c r="S11" i="4"/>
  <c r="S5" i="4"/>
  <c r="S10" i="4" s="1"/>
  <c r="S10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7" i="3"/>
  <c r="M27" i="3" s="1"/>
  <c r="L28" i="3"/>
  <c r="M28" i="3" s="1"/>
  <c r="L26" i="3"/>
  <c r="M26" i="3" s="1"/>
  <c r="L6" i="3"/>
  <c r="S5" i="3"/>
  <c r="S6" i="3" s="1"/>
  <c r="S7" i="3" s="1"/>
  <c r="S8" i="3" s="1"/>
  <c r="Q14" i="4" l="1"/>
  <c r="S7" i="4"/>
  <c r="S8" i="4" s="1"/>
  <c r="S9" i="4" s="1"/>
  <c r="S9" i="3"/>
  <c r="Q13" i="3" s="1"/>
</calcChain>
</file>

<file path=xl/sharedStrings.xml><?xml version="1.0" encoding="utf-8"?>
<sst xmlns="http://schemas.openxmlformats.org/spreadsheetml/2006/main" count="59" uniqueCount="27">
  <si>
    <t>TMR0</t>
  </si>
  <si>
    <t>Phase frequency</t>
  </si>
  <si>
    <t>prescaler</t>
  </si>
  <si>
    <t>nBits</t>
  </si>
  <si>
    <t>PWM</t>
  </si>
  <si>
    <t>Frequency</t>
  </si>
  <si>
    <t>period</t>
  </si>
  <si>
    <t>half wave</t>
  </si>
  <si>
    <t>full wave</t>
  </si>
  <si>
    <t>frequency</t>
  </si>
  <si>
    <t>Input parameters</t>
  </si>
  <si>
    <t>Crystal frequency</t>
  </si>
  <si>
    <t>TMR interrupt for PWM Switching</t>
  </si>
  <si>
    <t>Sine array size</t>
  </si>
  <si>
    <t>Output waveform</t>
  </si>
  <si>
    <t>Duty cycle</t>
  </si>
  <si>
    <t>PR2</t>
  </si>
  <si>
    <t>CCPR1L</t>
  </si>
  <si>
    <t>PWM Peripheral</t>
  </si>
  <si>
    <t>PIC</t>
  </si>
  <si>
    <t>Timer interrupt</t>
  </si>
  <si>
    <t>PWM pulses per step of the SPWM</t>
  </si>
  <si>
    <t>Output waves</t>
  </si>
  <si>
    <t>Results</t>
  </si>
  <si>
    <t>Registers' values</t>
  </si>
  <si>
    <t>Parameters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</si>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</sst>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5">
    <xf numFmtId="0" fontId="0" fillId="0" borderId="0" xfId="0"/>
    <xf numFmtId="11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7" borderId="0" xfId="0" applyFill="1"/>
    <xf numFmtId="0" fontId="1" fillId="7" borderId="0" xfId="0" applyFont="1" applyFill="1" applyAlignment="1">
      <alignment horizontal="center"/>
    </xf>
    <xf numFmtId="11" fontId="0" fillId="7" borderId="0" xfId="0" applyNumberFormat="1" applyFill="1"/>
    <xf numFmtId="0" fontId="1" fillId="7" borderId="0" xfId="0" applyFont="1" applyFill="1"/>
    <xf numFmtId="2" fontId="0" fillId="7" borderId="0" xfId="0" applyNumberFormat="1" applyFill="1"/>
    <xf numFmtId="0" fontId="0" fillId="7" borderId="0" xfId="0" applyFill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3" borderId="3" xfId="0" applyFill="1" applyBorder="1"/>
    <xf numFmtId="0" fontId="0" fillId="3" borderId="4" xfId="0" applyFill="1" applyBorder="1"/>
    <xf numFmtId="43" fontId="0" fillId="3" borderId="7" xfId="1" applyFont="1" applyFill="1" applyBorder="1"/>
    <xf numFmtId="43" fontId="0" fillId="0" borderId="3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4" xfId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" fillId="0" borderId="12" xfId="0" applyFont="1" applyBorder="1"/>
    <xf numFmtId="0" fontId="0" fillId="3" borderId="5" xfId="0" applyFill="1" applyBorder="1"/>
    <xf numFmtId="0" fontId="1" fillId="0" borderId="10" xfId="0" applyFont="1" applyBorder="1" applyAlignment="1">
      <alignment horizontal="center"/>
    </xf>
    <xf numFmtId="43" fontId="0" fillId="0" borderId="0" xfId="0" applyNumberFormat="1"/>
    <xf numFmtId="0" fontId="1" fillId="5" borderId="8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 vertical="center"/>
    </xf>
    <xf numFmtId="43" fontId="0" fillId="6" borderId="12" xfId="1" applyFont="1" applyFill="1" applyBorder="1" applyAlignment="1">
      <alignment horizontal="center" vertical="center"/>
    </xf>
    <xf numFmtId="43" fontId="0" fillId="6" borderId="2" xfId="1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/>
      </font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/>
      </font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AE88-CAEC-49BE-BEB6-A60E0F42C1D7}">
  <dimension ref="B2:T29"/>
  <sheetViews>
    <sheetView tabSelected="1" workbookViewId="0">
      <selection activeCell="L26" sqref="L26"/>
    </sheetView>
  </sheetViews>
  <sheetFormatPr baseColWidth="10" defaultColWidth="8.83203125" defaultRowHeight="15" x14ac:dyDescent="0.2"/>
  <cols>
    <col min="1" max="1" width="9.83203125" customWidth="1"/>
    <col min="2" max="2" width="2.5" customWidth="1"/>
    <col min="3" max="3" width="16.83203125" customWidth="1"/>
    <col min="4" max="4" width="19.1640625" customWidth="1"/>
    <col min="5" max="5" width="13.6640625" bestFit="1" customWidth="1"/>
    <col min="6" max="6" width="2.33203125" customWidth="1"/>
    <col min="8" max="8" width="2.1640625" customWidth="1"/>
    <col min="9" max="9" width="11.5" customWidth="1"/>
    <col min="10" max="10" width="10.6640625" customWidth="1"/>
    <col min="11" max="11" width="11.83203125" customWidth="1"/>
    <col min="12" max="12" width="11" customWidth="1"/>
    <col min="14" max="14" width="2.5" customWidth="1"/>
    <col min="15" max="15" width="12" bestFit="1" customWidth="1"/>
    <col min="16" max="16" width="2.5" customWidth="1"/>
    <col min="17" max="17" width="13.1640625" customWidth="1"/>
    <col min="18" max="18" width="16" customWidth="1"/>
    <col min="19" max="19" width="14.83203125" customWidth="1"/>
    <col min="20" max="20" width="2.1640625" customWidth="1"/>
  </cols>
  <sheetData>
    <row r="2" spans="2:20" ht="31.75" customHeight="1" x14ac:dyDescent="0.25">
      <c r="B2" s="64" t="s">
        <v>25</v>
      </c>
      <c r="C2" s="64"/>
      <c r="D2" s="64"/>
      <c r="E2" s="64"/>
      <c r="F2" s="64"/>
      <c r="H2" s="64" t="s">
        <v>24</v>
      </c>
      <c r="I2" s="64"/>
      <c r="J2" s="64"/>
      <c r="K2" s="64"/>
      <c r="L2" s="64"/>
      <c r="M2" s="64"/>
      <c r="N2" s="64"/>
      <c r="P2" s="64" t="s">
        <v>23</v>
      </c>
      <c r="Q2" s="64"/>
      <c r="R2" s="64"/>
      <c r="S2" s="64"/>
      <c r="T2" s="64"/>
    </row>
    <row r="3" spans="2:20" ht="16" thickBot="1" x14ac:dyDescent="0.25">
      <c r="B3" s="25"/>
      <c r="C3" s="25"/>
      <c r="D3" s="25"/>
      <c r="E3" s="25"/>
      <c r="F3" s="25"/>
      <c r="H3" s="25"/>
      <c r="I3" s="25"/>
      <c r="J3" s="25"/>
      <c r="K3" s="25"/>
      <c r="L3" s="25"/>
      <c r="M3" s="25"/>
      <c r="N3" s="25"/>
      <c r="P3" s="25"/>
      <c r="Q3" s="25"/>
      <c r="R3" s="25"/>
      <c r="S3" s="25"/>
      <c r="T3" s="25"/>
    </row>
    <row r="4" spans="2:20" ht="16" thickBot="1" x14ac:dyDescent="0.25">
      <c r="B4" s="25"/>
      <c r="C4" s="65" t="s">
        <v>10</v>
      </c>
      <c r="D4" s="66"/>
      <c r="E4" s="67"/>
      <c r="F4" s="26"/>
      <c r="G4" s="24"/>
      <c r="H4" s="26"/>
      <c r="I4" s="25"/>
      <c r="J4" s="68" t="s">
        <v>12</v>
      </c>
      <c r="K4" s="69"/>
      <c r="L4" s="70"/>
      <c r="M4" s="28"/>
      <c r="N4" s="28"/>
      <c r="P4" s="25"/>
      <c r="Q4" s="71" t="s">
        <v>22</v>
      </c>
      <c r="R4" s="72"/>
      <c r="S4" s="73"/>
      <c r="T4" s="25"/>
    </row>
    <row r="5" spans="2:20" ht="16" thickBot="1" x14ac:dyDescent="0.25">
      <c r="B5" s="25"/>
      <c r="C5" s="56" t="s">
        <v>14</v>
      </c>
      <c r="D5" s="2" t="s">
        <v>1</v>
      </c>
      <c r="E5" s="33">
        <v>300</v>
      </c>
      <c r="F5" s="25"/>
      <c r="H5" s="25"/>
      <c r="I5" s="25"/>
      <c r="J5" s="7" t="s">
        <v>3</v>
      </c>
      <c r="K5" s="8" t="s">
        <v>2</v>
      </c>
      <c r="L5" s="23" t="s">
        <v>0</v>
      </c>
      <c r="M5" s="29"/>
      <c r="N5" s="29"/>
      <c r="P5" s="25"/>
      <c r="Q5" s="56" t="s">
        <v>6</v>
      </c>
      <c r="R5" s="32" t="s">
        <v>20</v>
      </c>
      <c r="S5" s="16">
        <f>1/(2*E5*E6)</f>
        <v>2.05761316872428E-5</v>
      </c>
      <c r="T5" s="25"/>
    </row>
    <row r="6" spans="2:20" ht="16" thickBot="1" x14ac:dyDescent="0.25">
      <c r="B6" s="25"/>
      <c r="C6" s="58"/>
      <c r="D6" s="3" t="s">
        <v>13</v>
      </c>
      <c r="E6" s="34">
        <v>81</v>
      </c>
      <c r="F6" s="25"/>
      <c r="H6" s="25"/>
      <c r="I6" s="25"/>
      <c r="J6" s="59">
        <v>8</v>
      </c>
      <c r="K6" s="20">
        <v>2</v>
      </c>
      <c r="L6" s="12">
        <f>(2^$J$6)-($E$7/(8*$E$6*$E$5*K6))</f>
        <v>245.71193415637859</v>
      </c>
      <c r="M6" s="29"/>
      <c r="N6" s="29"/>
      <c r="P6" s="25"/>
      <c r="Q6" s="57"/>
      <c r="R6" t="s">
        <v>7</v>
      </c>
      <c r="S6" s="17">
        <f>S5*E6</f>
        <v>1.6666666666666668E-3</v>
      </c>
      <c r="T6" s="25"/>
    </row>
    <row r="7" spans="2:20" ht="16" thickBot="1" x14ac:dyDescent="0.25">
      <c r="B7" s="25"/>
      <c r="C7" s="7" t="s">
        <v>19</v>
      </c>
      <c r="D7" s="5" t="s">
        <v>11</v>
      </c>
      <c r="E7" s="35">
        <v>4000000</v>
      </c>
      <c r="F7" s="27"/>
      <c r="G7" s="1"/>
      <c r="H7" s="27"/>
      <c r="I7" s="25"/>
      <c r="J7" s="60"/>
      <c r="K7" s="21">
        <v>4</v>
      </c>
      <c r="L7" s="10">
        <f t="shared" ref="L7:L13" si="0">(2^$J$6)-($E$7/(8*$E$6*$E$5*K7))</f>
        <v>250.85596707818931</v>
      </c>
      <c r="M7" s="29"/>
      <c r="N7" s="29"/>
      <c r="P7" s="25"/>
      <c r="Q7" s="57"/>
      <c r="R7" t="s">
        <v>8</v>
      </c>
      <c r="S7" s="17">
        <f>S6*2</f>
        <v>3.3333333333333335E-3</v>
      </c>
      <c r="T7" s="25"/>
    </row>
    <row r="8" spans="2:20" x14ac:dyDescent="0.2">
      <c r="B8" s="25"/>
      <c r="C8" s="25"/>
      <c r="D8" s="25"/>
      <c r="E8" s="25"/>
      <c r="F8" s="25"/>
      <c r="H8" s="25"/>
      <c r="I8" s="25"/>
      <c r="J8" s="60"/>
      <c r="K8" s="21">
        <v>8</v>
      </c>
      <c r="L8" s="10">
        <f t="shared" si="0"/>
        <v>253.42798353909464</v>
      </c>
      <c r="M8" s="29"/>
      <c r="N8" s="29"/>
      <c r="P8" s="25"/>
      <c r="Q8" s="56" t="s">
        <v>9</v>
      </c>
      <c r="R8" s="32" t="s">
        <v>8</v>
      </c>
      <c r="S8" s="36">
        <f>1/S7</f>
        <v>300</v>
      </c>
      <c r="T8" s="25"/>
    </row>
    <row r="9" spans="2:20" x14ac:dyDescent="0.2">
      <c r="H9" s="25"/>
      <c r="I9" s="25"/>
      <c r="J9" s="60"/>
      <c r="K9" s="21">
        <v>16</v>
      </c>
      <c r="L9" s="10">
        <f t="shared" si="0"/>
        <v>254.71399176954733</v>
      </c>
      <c r="M9" s="29"/>
      <c r="N9" s="29"/>
      <c r="P9" s="25"/>
      <c r="Q9" s="57"/>
      <c r="R9" t="s">
        <v>20</v>
      </c>
      <c r="S9" s="37">
        <f>1/S5</f>
        <v>48599.999999999993</v>
      </c>
      <c r="T9" s="25"/>
    </row>
    <row r="10" spans="2:20" ht="16" thickBot="1" x14ac:dyDescent="0.25">
      <c r="H10" s="25"/>
      <c r="I10" s="25"/>
      <c r="J10" s="60"/>
      <c r="K10" s="21">
        <v>32</v>
      </c>
      <c r="L10" s="10">
        <f t="shared" si="0"/>
        <v>255.35699588477365</v>
      </c>
      <c r="M10" s="29"/>
      <c r="N10" s="29"/>
      <c r="P10" s="25"/>
      <c r="Q10" s="58"/>
      <c r="R10" s="4" t="s">
        <v>4</v>
      </c>
      <c r="S10" s="38">
        <f>I26</f>
        <v>10000</v>
      </c>
      <c r="T10" s="25"/>
    </row>
    <row r="11" spans="2:20" x14ac:dyDescent="0.2">
      <c r="H11" s="25"/>
      <c r="I11" s="25"/>
      <c r="J11" s="60"/>
      <c r="K11" s="21">
        <v>64</v>
      </c>
      <c r="L11" s="10">
        <f t="shared" si="0"/>
        <v>255.67849794238683</v>
      </c>
      <c r="M11" s="29"/>
      <c r="N11" s="29"/>
      <c r="P11" s="25"/>
      <c r="Q11" s="25"/>
      <c r="R11" s="25"/>
      <c r="S11" s="25"/>
      <c r="T11" s="25"/>
    </row>
    <row r="12" spans="2:20" ht="16" thickBot="1" x14ac:dyDescent="0.25">
      <c r="H12" s="25"/>
      <c r="I12" s="25"/>
      <c r="J12" s="60"/>
      <c r="K12" s="21">
        <v>128</v>
      </c>
      <c r="L12" s="10">
        <f t="shared" si="0"/>
        <v>255.83924897119343</v>
      </c>
      <c r="M12" s="29"/>
      <c r="N12" s="29"/>
      <c r="P12" s="25"/>
      <c r="Q12" s="25"/>
      <c r="R12" s="25"/>
      <c r="S12" s="25"/>
      <c r="T12" s="25"/>
    </row>
    <row r="13" spans="2:20" ht="16" thickBot="1" x14ac:dyDescent="0.25">
      <c r="H13" s="25"/>
      <c r="I13" s="25"/>
      <c r="J13" s="61"/>
      <c r="K13" s="22">
        <v>256</v>
      </c>
      <c r="L13" s="11">
        <f t="shared" si="0"/>
        <v>255.9196244855967</v>
      </c>
      <c r="M13" s="25"/>
      <c r="N13" s="25"/>
      <c r="P13" s="25"/>
      <c r="Q13" s="31">
        <f>S10/S9</f>
        <v>0.20576131687242802</v>
      </c>
      <c r="R13" s="62" t="s">
        <v>21</v>
      </c>
      <c r="S13" s="63"/>
      <c r="T13" s="25"/>
    </row>
    <row r="14" spans="2:20" x14ac:dyDescent="0.2">
      <c r="H14" s="25"/>
      <c r="I14" s="25"/>
      <c r="J14" s="59">
        <v>16</v>
      </c>
      <c r="K14" s="16">
        <v>2</v>
      </c>
      <c r="L14" s="10">
        <f t="shared" ref="L14:L21" si="1">(2^$J$14)-($E$7/(8*$E$6*$E$5*K14))</f>
        <v>65525.711934156381</v>
      </c>
      <c r="M14" s="25"/>
      <c r="N14" s="25"/>
      <c r="P14" s="25"/>
      <c r="Q14" s="25"/>
      <c r="R14" s="25"/>
      <c r="S14" s="25"/>
      <c r="T14" s="25"/>
    </row>
    <row r="15" spans="2:20" x14ac:dyDescent="0.2">
      <c r="H15" s="25"/>
      <c r="I15" s="25"/>
      <c r="J15" s="60"/>
      <c r="K15" s="17">
        <v>4</v>
      </c>
      <c r="L15" s="10">
        <f t="shared" si="1"/>
        <v>65530.855967078191</v>
      </c>
      <c r="M15" s="25"/>
      <c r="N15" s="25"/>
      <c r="P15" s="25"/>
      <c r="Q15" s="25"/>
      <c r="R15" s="25"/>
      <c r="S15" s="25"/>
      <c r="T15" s="25"/>
    </row>
    <row r="16" spans="2:20" x14ac:dyDescent="0.2">
      <c r="H16" s="25"/>
      <c r="I16" s="25"/>
      <c r="J16" s="60"/>
      <c r="K16" s="17">
        <v>8</v>
      </c>
      <c r="L16" s="10">
        <f t="shared" si="1"/>
        <v>65533.427983539092</v>
      </c>
      <c r="M16" s="25"/>
      <c r="N16" s="25"/>
      <c r="P16" s="25"/>
      <c r="Q16" s="25"/>
      <c r="R16" s="25"/>
      <c r="S16" s="25"/>
      <c r="T16" s="25"/>
    </row>
    <row r="17" spans="8:14" x14ac:dyDescent="0.2">
      <c r="H17" s="25"/>
      <c r="I17" s="25"/>
      <c r="J17" s="60"/>
      <c r="K17" s="17">
        <v>16</v>
      </c>
      <c r="L17" s="10">
        <f t="shared" si="1"/>
        <v>65534.713991769546</v>
      </c>
      <c r="M17" s="25"/>
      <c r="N17" s="25"/>
    </row>
    <row r="18" spans="8:14" x14ac:dyDescent="0.2">
      <c r="H18" s="25"/>
      <c r="I18" s="25"/>
      <c r="J18" s="60"/>
      <c r="K18" s="17">
        <v>32</v>
      </c>
      <c r="L18" s="10">
        <f t="shared" si="1"/>
        <v>65535.356995884773</v>
      </c>
      <c r="M18" s="25"/>
      <c r="N18" s="25"/>
    </row>
    <row r="19" spans="8:14" x14ac:dyDescent="0.2">
      <c r="H19" s="25"/>
      <c r="I19" s="25"/>
      <c r="J19" s="60"/>
      <c r="K19" s="17">
        <v>64</v>
      </c>
      <c r="L19" s="10">
        <f t="shared" si="1"/>
        <v>65535.67849794239</v>
      </c>
      <c r="M19" s="25"/>
      <c r="N19" s="25"/>
    </row>
    <row r="20" spans="8:14" x14ac:dyDescent="0.2">
      <c r="H20" s="25"/>
      <c r="I20" s="25"/>
      <c r="J20" s="60"/>
      <c r="K20" s="17">
        <v>128</v>
      </c>
      <c r="L20" s="10">
        <f t="shared" si="1"/>
        <v>65535.839248971191</v>
      </c>
      <c r="M20" s="25"/>
      <c r="N20" s="25"/>
    </row>
    <row r="21" spans="8:14" ht="16" thickBot="1" x14ac:dyDescent="0.25">
      <c r="H21" s="25"/>
      <c r="I21" s="25"/>
      <c r="J21" s="61"/>
      <c r="K21" s="18">
        <v>256</v>
      </c>
      <c r="L21" s="11">
        <f t="shared" si="1"/>
        <v>65535.919624485599</v>
      </c>
      <c r="M21" s="25"/>
      <c r="N21" s="25"/>
    </row>
    <row r="22" spans="8:14" x14ac:dyDescent="0.2">
      <c r="H22" s="25"/>
      <c r="I22" s="25"/>
      <c r="J22" s="25"/>
      <c r="K22" s="25"/>
      <c r="L22" s="25"/>
      <c r="M22" s="25"/>
      <c r="N22" s="25"/>
    </row>
    <row r="23" spans="8:14" ht="16" thickBot="1" x14ac:dyDescent="0.25">
      <c r="H23" s="25"/>
      <c r="I23" s="25"/>
      <c r="J23" s="25"/>
      <c r="K23" s="25"/>
      <c r="L23" s="25"/>
      <c r="M23" s="25"/>
      <c r="N23" s="25"/>
    </row>
    <row r="24" spans="8:14" ht="16" thickBot="1" x14ac:dyDescent="0.25">
      <c r="H24" s="25"/>
      <c r="I24" s="47" t="s">
        <v>18</v>
      </c>
      <c r="J24" s="48"/>
      <c r="K24" s="48"/>
      <c r="L24" s="48"/>
      <c r="M24" s="49"/>
      <c r="N24" s="26"/>
    </row>
    <row r="25" spans="8:14" ht="16" thickBot="1" x14ac:dyDescent="0.25">
      <c r="H25" s="25"/>
      <c r="I25" s="6" t="s">
        <v>5</v>
      </c>
      <c r="J25" s="7" t="s">
        <v>15</v>
      </c>
      <c r="K25" s="8" t="s">
        <v>2</v>
      </c>
      <c r="L25" s="7" t="s">
        <v>16</v>
      </c>
      <c r="M25" s="19" t="s">
        <v>17</v>
      </c>
      <c r="N25" s="26"/>
    </row>
    <row r="26" spans="8:14" x14ac:dyDescent="0.2">
      <c r="H26" s="25"/>
      <c r="I26" s="50">
        <v>10000</v>
      </c>
      <c r="J26" s="53">
        <v>1</v>
      </c>
      <c r="K26" s="9">
        <v>1</v>
      </c>
      <c r="L26" s="12">
        <f>($E$7/($I$26*4*K26))-1</f>
        <v>99</v>
      </c>
      <c r="M26" s="39">
        <f>(L26+1)*($J$26/100)</f>
        <v>1</v>
      </c>
      <c r="N26" s="30"/>
    </row>
    <row r="27" spans="8:14" x14ac:dyDescent="0.2">
      <c r="H27" s="25"/>
      <c r="I27" s="51"/>
      <c r="J27" s="54"/>
      <c r="K27" s="9">
        <v>4</v>
      </c>
      <c r="L27" s="10">
        <f t="shared" ref="L27:L28" si="2">($E$7/($I$26*4*K27))-1</f>
        <v>24</v>
      </c>
      <c r="M27" s="14">
        <f t="shared" ref="M27:M28" si="3">(L27+1)*($J$26/100)</f>
        <v>0.25</v>
      </c>
      <c r="N27" s="30"/>
    </row>
    <row r="28" spans="8:14" ht="16" thickBot="1" x14ac:dyDescent="0.25">
      <c r="H28" s="25"/>
      <c r="I28" s="52"/>
      <c r="J28" s="55"/>
      <c r="K28" s="13">
        <v>16</v>
      </c>
      <c r="L28" s="11">
        <f t="shared" si="2"/>
        <v>5.25</v>
      </c>
      <c r="M28" s="15">
        <f t="shared" si="3"/>
        <v>6.25E-2</v>
      </c>
      <c r="N28" s="30"/>
    </row>
    <row r="29" spans="8:14" x14ac:dyDescent="0.2">
      <c r="H29" s="25"/>
      <c r="I29" s="25"/>
      <c r="J29" s="25"/>
      <c r="K29" s="25"/>
      <c r="L29" s="25"/>
      <c r="M29" s="25"/>
      <c r="N29" s="25"/>
    </row>
  </sheetData>
  <mergeCells count="15">
    <mergeCell ref="J26:J28"/>
    <mergeCell ref="I26:I28"/>
    <mergeCell ref="Q8:Q10"/>
    <mergeCell ref="Q5:Q7"/>
    <mergeCell ref="B2:F2"/>
    <mergeCell ref="H2:N2"/>
    <mergeCell ref="P2:T2"/>
    <mergeCell ref="C5:C6"/>
    <mergeCell ref="C4:E4"/>
    <mergeCell ref="Q4:S4"/>
    <mergeCell ref="R13:S13"/>
    <mergeCell ref="J6:J13"/>
    <mergeCell ref="J14:J21"/>
    <mergeCell ref="J4:L4"/>
    <mergeCell ref="I24:M24"/>
  </mergeCells>
  <conditionalFormatting sqref="L6:L13">
    <cfRule type="cellIs" dxfId="18" priority="7" operator="greaterThanOrEqual">
      <formula>255</formula>
    </cfRule>
    <cfRule type="cellIs" dxfId="17" priority="8" operator="lessThan">
      <formula>0</formula>
    </cfRule>
    <cfRule type="cellIs" dxfId="16" priority="11" operator="between">
      <formula>0</formula>
      <formula>255</formula>
    </cfRule>
  </conditionalFormatting>
  <conditionalFormatting sqref="L14:L21">
    <cfRule type="cellIs" dxfId="15" priority="10" operator="between">
      <formula>0</formula>
      <formula>65535</formula>
    </cfRule>
    <cfRule type="cellIs" dxfId="14" priority="12" operator="greaterThanOrEqual">
      <formula>65535</formula>
    </cfRule>
  </conditionalFormatting>
  <conditionalFormatting sqref="L26:M28">
    <cfRule type="cellIs" dxfId="13" priority="3" operator="lessThan">
      <formula>0</formula>
    </cfRule>
    <cfRule type="cellIs" dxfId="12" priority="4" operator="greaterThanOrEqual">
      <formula>255</formula>
    </cfRule>
    <cfRule type="cellIs" dxfId="11" priority="9" operator="between">
      <formula>0</formula>
      <formula>255</formula>
    </cfRule>
  </conditionalFormatting>
  <conditionalFormatting sqref="Q13">
    <cfRule type="cellIs" dxfId="10" priority="1" operator="greaterThan">
      <formula>1</formula>
    </cfRule>
    <cfRule type="cellIs" dxfId="9" priority="2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CE34-C5FD-4DCF-894F-A37AC2E30C46}">
  <dimension ref="B2:V51"/>
  <sheetViews>
    <sheetView workbookViewId="0">
      <selection activeCell="G41" sqref="G41"/>
    </sheetView>
  </sheetViews>
  <sheetFormatPr baseColWidth="10" defaultColWidth="8.83203125" defaultRowHeight="15" x14ac:dyDescent="0.2"/>
  <cols>
    <col min="2" max="2" width="2.6640625" customWidth="1"/>
    <col min="3" max="3" width="15.5" customWidth="1"/>
    <col min="4" max="4" width="20.6640625" customWidth="1"/>
    <col min="5" max="5" width="15.5" customWidth="1"/>
    <col min="6" max="6" width="2.5" customWidth="1"/>
    <col min="7" max="7" width="9.33203125" customWidth="1"/>
    <col min="8" max="8" width="2.6640625" customWidth="1"/>
    <col min="9" max="9" width="11.83203125" customWidth="1"/>
    <col min="10" max="10" width="11.1640625" customWidth="1"/>
    <col min="14" max="14" width="2.1640625" customWidth="1"/>
    <col min="16" max="16" width="2.1640625" customWidth="1"/>
    <col min="18" max="18" width="14.6640625" customWidth="1"/>
    <col min="19" max="19" width="17.6640625" customWidth="1"/>
    <col min="20" max="20" width="2.1640625" customWidth="1"/>
    <col min="22" max="22" width="9.1640625" bestFit="1" customWidth="1"/>
  </cols>
  <sheetData>
    <row r="2" spans="2:22" ht="21" x14ac:dyDescent="0.25">
      <c r="B2" s="64" t="s">
        <v>25</v>
      </c>
      <c r="C2" s="64"/>
      <c r="D2" s="64"/>
      <c r="E2" s="64"/>
      <c r="F2" s="64"/>
      <c r="H2" s="64" t="s">
        <v>24</v>
      </c>
      <c r="I2" s="64"/>
      <c r="J2" s="64"/>
      <c r="K2" s="64"/>
      <c r="L2" s="64"/>
      <c r="M2" s="64"/>
      <c r="N2" s="64"/>
      <c r="P2" s="64" t="s">
        <v>23</v>
      </c>
      <c r="Q2" s="64"/>
      <c r="R2" s="64"/>
      <c r="S2" s="64"/>
      <c r="T2" s="64"/>
    </row>
    <row r="3" spans="2:22" ht="16" thickBot="1" x14ac:dyDescent="0.25">
      <c r="B3" s="25"/>
      <c r="C3" s="25"/>
      <c r="D3" s="25"/>
      <c r="E3" s="25"/>
      <c r="F3" s="25"/>
      <c r="H3" s="25"/>
      <c r="I3" s="25"/>
      <c r="J3" s="25"/>
      <c r="K3" s="25"/>
      <c r="L3" s="25"/>
      <c r="M3" s="25"/>
      <c r="N3" s="25"/>
      <c r="P3" s="25"/>
      <c r="Q3" s="25"/>
      <c r="R3" s="25"/>
      <c r="S3" s="25"/>
      <c r="T3" s="25"/>
    </row>
    <row r="4" spans="2:22" ht="16" thickBot="1" x14ac:dyDescent="0.25">
      <c r="B4" s="25"/>
      <c r="C4" s="65" t="s">
        <v>10</v>
      </c>
      <c r="D4" s="66"/>
      <c r="E4" s="67"/>
      <c r="F4" s="26"/>
      <c r="G4" s="24"/>
      <c r="H4" s="26"/>
      <c r="I4" s="25"/>
      <c r="J4" s="68" t="s">
        <v>12</v>
      </c>
      <c r="K4" s="69"/>
      <c r="L4" s="70"/>
      <c r="M4" s="28"/>
      <c r="N4" s="28"/>
      <c r="P4" s="25"/>
      <c r="Q4" s="71" t="s">
        <v>22</v>
      </c>
      <c r="R4" s="72"/>
      <c r="S4" s="73"/>
      <c r="T4" s="25"/>
    </row>
    <row r="5" spans="2:22" ht="16" thickBot="1" x14ac:dyDescent="0.25">
      <c r="B5" s="25"/>
      <c r="C5" s="56" t="s">
        <v>14</v>
      </c>
      <c r="D5" s="2" t="s">
        <v>1</v>
      </c>
      <c r="E5" s="33">
        <v>300</v>
      </c>
      <c r="F5" s="25"/>
      <c r="H5" s="25"/>
      <c r="I5" s="25"/>
      <c r="J5" s="7" t="s">
        <v>3</v>
      </c>
      <c r="K5" s="45" t="s">
        <v>2</v>
      </c>
      <c r="L5" s="23" t="s">
        <v>0</v>
      </c>
      <c r="M5" s="29"/>
      <c r="N5" s="29"/>
      <c r="P5" s="25"/>
      <c r="Q5" s="56" t="s">
        <v>6</v>
      </c>
      <c r="R5" s="32" t="s">
        <v>20</v>
      </c>
      <c r="S5" s="16">
        <f>1/(2*E5*E7)</f>
        <v>3.9682539682539683E-5</v>
      </c>
      <c r="T5" s="25"/>
    </row>
    <row r="6" spans="2:22" ht="16" thickBot="1" x14ac:dyDescent="0.25">
      <c r="B6" s="25"/>
      <c r="C6" s="57"/>
      <c r="D6" s="43"/>
      <c r="E6" s="44"/>
      <c r="F6" s="25"/>
      <c r="H6" s="25"/>
      <c r="I6" s="25"/>
      <c r="J6" s="59">
        <v>8</v>
      </c>
      <c r="K6" s="16">
        <v>1</v>
      </c>
      <c r="L6" s="12">
        <f>($E$8/(8*$E$7*$E$5*K6))</f>
        <v>317.46031746031747</v>
      </c>
      <c r="M6" s="29"/>
      <c r="N6" s="29"/>
      <c r="P6" s="25"/>
      <c r="Q6" s="57"/>
      <c r="S6" s="17"/>
      <c r="T6" s="25"/>
    </row>
    <row r="7" spans="2:22" ht="16" thickBot="1" x14ac:dyDescent="0.25">
      <c r="B7" s="25"/>
      <c r="C7" s="58"/>
      <c r="D7" s="3" t="s">
        <v>13</v>
      </c>
      <c r="E7" s="34">
        <v>42</v>
      </c>
      <c r="F7" s="25"/>
      <c r="H7" s="25"/>
      <c r="I7" s="25"/>
      <c r="J7" s="60"/>
      <c r="K7" s="17">
        <v>2</v>
      </c>
      <c r="L7" s="12">
        <f t="shared" ref="L7:L21" si="0">($E$8/(8*$E$7*$E$5*K7))</f>
        <v>158.73015873015873</v>
      </c>
      <c r="M7" s="29"/>
      <c r="N7" s="29"/>
      <c r="P7" s="25"/>
      <c r="Q7" s="57"/>
      <c r="R7" t="s">
        <v>7</v>
      </c>
      <c r="S7" s="17">
        <f>S5*E7</f>
        <v>1.6666666666666666E-3</v>
      </c>
      <c r="T7" s="25"/>
    </row>
    <row r="8" spans="2:22" ht="16" thickBot="1" x14ac:dyDescent="0.25">
      <c r="B8" s="25"/>
      <c r="C8" s="7" t="s">
        <v>19</v>
      </c>
      <c r="D8" s="5" t="s">
        <v>11</v>
      </c>
      <c r="E8" s="35">
        <v>32000000</v>
      </c>
      <c r="F8" s="27"/>
      <c r="G8" s="1"/>
      <c r="H8" s="27"/>
      <c r="I8" s="25"/>
      <c r="J8" s="60"/>
      <c r="K8" s="17">
        <v>4</v>
      </c>
      <c r="L8" s="12">
        <f t="shared" si="0"/>
        <v>79.365079365079367</v>
      </c>
      <c r="M8" s="29"/>
      <c r="N8" s="29"/>
      <c r="P8" s="25"/>
      <c r="Q8" s="57"/>
      <c r="R8" t="s">
        <v>8</v>
      </c>
      <c r="S8" s="17">
        <f>S7*2</f>
        <v>3.3333333333333331E-3</v>
      </c>
      <c r="T8" s="25"/>
    </row>
    <row r="9" spans="2:22" ht="16" thickBot="1" x14ac:dyDescent="0.25">
      <c r="B9" s="25"/>
      <c r="C9" s="25"/>
      <c r="D9" s="25"/>
      <c r="E9" s="25"/>
      <c r="F9" s="25"/>
      <c r="H9" s="25"/>
      <c r="I9" s="25"/>
      <c r="J9" s="60"/>
      <c r="K9" s="17">
        <v>8</v>
      </c>
      <c r="L9" s="12">
        <f t="shared" si="0"/>
        <v>39.682539682539684</v>
      </c>
      <c r="M9" s="29"/>
      <c r="N9" s="29"/>
      <c r="P9" s="25"/>
      <c r="Q9" s="56" t="s">
        <v>9</v>
      </c>
      <c r="R9" s="32" t="s">
        <v>8</v>
      </c>
      <c r="S9" s="36">
        <f>1/S8</f>
        <v>300</v>
      </c>
      <c r="T9" s="25"/>
    </row>
    <row r="10" spans="2:22" ht="16" thickBot="1" x14ac:dyDescent="0.25">
      <c r="H10" s="25"/>
      <c r="I10" s="25"/>
      <c r="J10" s="60"/>
      <c r="K10" s="17">
        <v>16</v>
      </c>
      <c r="L10" s="12">
        <f t="shared" si="0"/>
        <v>19.841269841269842</v>
      </c>
      <c r="M10" s="29"/>
      <c r="N10" s="29"/>
      <c r="P10" s="25"/>
      <c r="Q10" s="57"/>
      <c r="R10" t="s">
        <v>20</v>
      </c>
      <c r="S10" s="37">
        <f>1/S5</f>
        <v>25200</v>
      </c>
      <c r="T10" s="25"/>
      <c r="V10" s="46"/>
    </row>
    <row r="11" spans="2:22" ht="16" thickBot="1" x14ac:dyDescent="0.25">
      <c r="H11" s="25"/>
      <c r="I11" s="25"/>
      <c r="J11" s="60"/>
      <c r="K11" s="17">
        <v>32</v>
      </c>
      <c r="L11" s="12">
        <f t="shared" si="0"/>
        <v>9.9206349206349209</v>
      </c>
      <c r="M11" s="29"/>
      <c r="N11" s="29"/>
      <c r="P11" s="25"/>
      <c r="Q11" s="58"/>
      <c r="R11" s="4" t="s">
        <v>4</v>
      </c>
      <c r="S11" s="38">
        <f>I42</f>
        <v>320000</v>
      </c>
      <c r="T11" s="25"/>
    </row>
    <row r="12" spans="2:22" ht="16" thickBot="1" x14ac:dyDescent="0.25">
      <c r="H12" s="25"/>
      <c r="I12" s="25"/>
      <c r="J12" s="60"/>
      <c r="K12" s="17">
        <v>64</v>
      </c>
      <c r="L12" s="12">
        <f t="shared" si="0"/>
        <v>4.9603174603174605</v>
      </c>
      <c r="M12" s="29"/>
      <c r="N12" s="29"/>
      <c r="P12" s="25"/>
      <c r="Q12" s="25"/>
      <c r="R12" s="25"/>
      <c r="S12" s="25"/>
      <c r="T12" s="25"/>
    </row>
    <row r="13" spans="2:22" ht="16" thickBot="1" x14ac:dyDescent="0.25">
      <c r="H13" s="25"/>
      <c r="I13" s="25"/>
      <c r="J13" s="60"/>
      <c r="K13" s="17">
        <v>128</v>
      </c>
      <c r="L13" s="12">
        <f t="shared" si="0"/>
        <v>2.4801587301587302</v>
      </c>
      <c r="M13" s="29"/>
      <c r="N13" s="29"/>
      <c r="P13" s="25"/>
      <c r="Q13" s="25"/>
      <c r="R13" s="25"/>
      <c r="S13" s="25"/>
      <c r="T13" s="25"/>
    </row>
    <row r="14" spans="2:22" ht="16" thickBot="1" x14ac:dyDescent="0.25">
      <c r="H14" s="25"/>
      <c r="I14" s="25"/>
      <c r="J14" s="60"/>
      <c r="K14" s="17">
        <v>256</v>
      </c>
      <c r="L14" s="12">
        <f t="shared" si="0"/>
        <v>1.2400793650793651</v>
      </c>
      <c r="M14" s="25"/>
      <c r="N14" s="25"/>
      <c r="P14" s="25"/>
      <c r="Q14" s="31">
        <f>S11/S10</f>
        <v>12.698412698412698</v>
      </c>
      <c r="R14" s="62" t="s">
        <v>21</v>
      </c>
      <c r="S14" s="63"/>
      <c r="T14" s="25"/>
    </row>
    <row r="15" spans="2:22" ht="16" thickBot="1" x14ac:dyDescent="0.25">
      <c r="H15" s="25"/>
      <c r="I15" s="25"/>
      <c r="J15" s="60"/>
      <c r="K15" s="17">
        <v>512</v>
      </c>
      <c r="L15" s="12">
        <f t="shared" si="0"/>
        <v>0.62003968253968256</v>
      </c>
      <c r="M15" s="25"/>
      <c r="N15" s="25"/>
      <c r="P15" s="25"/>
      <c r="Q15" s="25"/>
      <c r="R15" s="30"/>
      <c r="S15" s="30"/>
      <c r="T15" s="25"/>
    </row>
    <row r="16" spans="2:22" ht="16" thickBot="1" x14ac:dyDescent="0.25">
      <c r="H16" s="25"/>
      <c r="I16" s="25"/>
      <c r="J16" s="60"/>
      <c r="K16" s="17">
        <v>1024</v>
      </c>
      <c r="L16" s="12">
        <f t="shared" si="0"/>
        <v>0.31001984126984128</v>
      </c>
      <c r="M16" s="25"/>
      <c r="N16" s="25"/>
      <c r="P16" s="25"/>
      <c r="Q16" s="25"/>
      <c r="R16" s="30"/>
      <c r="S16" s="30"/>
      <c r="T16" s="25"/>
    </row>
    <row r="17" spans="5:20" ht="16" thickBot="1" x14ac:dyDescent="0.25">
      <c r="H17" s="25"/>
      <c r="I17" s="25"/>
      <c r="J17" s="60"/>
      <c r="K17" s="17">
        <v>2048</v>
      </c>
      <c r="L17" s="12">
        <f t="shared" si="0"/>
        <v>0.15500992063492064</v>
      </c>
      <c r="M17" s="25"/>
      <c r="N17" s="25"/>
      <c r="P17" s="25"/>
      <c r="Q17" s="25"/>
      <c r="R17" s="30"/>
      <c r="S17" s="30"/>
      <c r="T17" s="25"/>
    </row>
    <row r="18" spans="5:20" ht="16" thickBot="1" x14ac:dyDescent="0.25">
      <c r="H18" s="25"/>
      <c r="I18" s="25"/>
      <c r="J18" s="60"/>
      <c r="K18" s="17">
        <v>4096</v>
      </c>
      <c r="L18" s="12">
        <f t="shared" si="0"/>
        <v>7.750496031746032E-2</v>
      </c>
      <c r="M18" s="25"/>
      <c r="N18" s="25"/>
      <c r="P18" s="25"/>
      <c r="Q18" s="25"/>
      <c r="R18" s="30"/>
      <c r="S18" s="30"/>
      <c r="T18" s="25"/>
    </row>
    <row r="19" spans="5:20" ht="16" thickBot="1" x14ac:dyDescent="0.25">
      <c r="H19" s="25"/>
      <c r="I19" s="25"/>
      <c r="J19" s="60"/>
      <c r="K19" s="17">
        <v>8192</v>
      </c>
      <c r="L19" s="12">
        <f t="shared" si="0"/>
        <v>3.875248015873016E-2</v>
      </c>
      <c r="M19" s="25"/>
      <c r="N19" s="25"/>
      <c r="P19" s="25"/>
      <c r="Q19" s="25"/>
      <c r="R19" s="30"/>
      <c r="S19" s="30"/>
      <c r="T19" s="25"/>
    </row>
    <row r="20" spans="5:20" ht="16" thickBot="1" x14ac:dyDescent="0.25">
      <c r="H20" s="25"/>
      <c r="I20" s="25"/>
      <c r="J20" s="60"/>
      <c r="K20" s="17">
        <v>16384</v>
      </c>
      <c r="L20" s="12">
        <f t="shared" si="0"/>
        <v>1.937624007936508E-2</v>
      </c>
      <c r="M20" s="25"/>
      <c r="N20" s="25"/>
      <c r="P20" s="25"/>
      <c r="Q20" s="25"/>
      <c r="R20" s="30"/>
      <c r="S20" s="30"/>
      <c r="T20" s="25"/>
    </row>
    <row r="21" spans="5:20" ht="16" thickBot="1" x14ac:dyDescent="0.25">
      <c r="H21" s="25"/>
      <c r="I21" s="25"/>
      <c r="J21" s="61"/>
      <c r="K21" s="18">
        <v>32768</v>
      </c>
      <c r="L21" s="12">
        <f t="shared" si="0"/>
        <v>9.68812003968254E-3</v>
      </c>
      <c r="M21" s="25"/>
      <c r="N21" s="25"/>
      <c r="P21" s="25"/>
      <c r="Q21" s="25"/>
      <c r="R21" s="30"/>
      <c r="S21" s="30"/>
      <c r="T21" s="25"/>
    </row>
    <row r="22" spans="5:20" ht="16" thickBot="1" x14ac:dyDescent="0.25">
      <c r="E22" t="s">
        <v>26</v>
      </c>
      <c r="H22" s="25"/>
      <c r="I22" s="25"/>
      <c r="J22" s="59">
        <v>16</v>
      </c>
      <c r="K22" s="16">
        <v>2</v>
      </c>
      <c r="L22" s="42">
        <f>($E$8/(8*$E$7*$E$5*K22))</f>
        <v>158.73015873015873</v>
      </c>
      <c r="M22" s="25"/>
      <c r="N22" s="25"/>
      <c r="P22" s="25"/>
      <c r="Q22" s="25"/>
      <c r="R22" s="25"/>
      <c r="S22" s="25"/>
      <c r="T22" s="25"/>
    </row>
    <row r="23" spans="5:20" ht="16" thickBot="1" x14ac:dyDescent="0.25">
      <c r="H23" s="25"/>
      <c r="I23" s="25"/>
      <c r="J23" s="60"/>
      <c r="K23" s="17">
        <v>4</v>
      </c>
      <c r="L23" s="42">
        <f t="shared" ref="L23:L36" si="1">($E$8/(8*$E$7*$E$5*K23))</f>
        <v>79.365079365079367</v>
      </c>
      <c r="M23" s="25"/>
      <c r="N23" s="25"/>
      <c r="P23" s="25"/>
      <c r="Q23" s="25"/>
      <c r="R23" s="25"/>
      <c r="S23" s="25"/>
      <c r="T23" s="25"/>
    </row>
    <row r="24" spans="5:20" ht="16" thickBot="1" x14ac:dyDescent="0.25">
      <c r="H24" s="25"/>
      <c r="I24" s="25"/>
      <c r="J24" s="60"/>
      <c r="K24" s="17">
        <v>8</v>
      </c>
      <c r="L24" s="42">
        <f t="shared" si="1"/>
        <v>39.682539682539684</v>
      </c>
      <c r="M24" s="25"/>
      <c r="N24" s="25"/>
      <c r="P24" s="25"/>
      <c r="Q24" s="25"/>
      <c r="R24" s="25"/>
      <c r="S24" s="25"/>
      <c r="T24" s="25"/>
    </row>
    <row r="25" spans="5:20" ht="16" thickBot="1" x14ac:dyDescent="0.25">
      <c r="H25" s="25"/>
      <c r="I25" s="25"/>
      <c r="J25" s="60"/>
      <c r="K25" s="17">
        <v>16</v>
      </c>
      <c r="L25" s="42">
        <f t="shared" si="1"/>
        <v>19.841269841269842</v>
      </c>
      <c r="M25" s="25"/>
      <c r="N25" s="25"/>
    </row>
    <row r="26" spans="5:20" ht="16" thickBot="1" x14ac:dyDescent="0.25">
      <c r="H26" s="25"/>
      <c r="I26" s="25"/>
      <c r="J26" s="60"/>
      <c r="K26" s="17">
        <v>32</v>
      </c>
      <c r="L26" s="42">
        <f t="shared" si="1"/>
        <v>9.9206349206349209</v>
      </c>
      <c r="M26" s="25"/>
      <c r="N26" s="25"/>
    </row>
    <row r="27" spans="5:20" ht="16" thickBot="1" x14ac:dyDescent="0.25">
      <c r="H27" s="25"/>
      <c r="I27" s="25"/>
      <c r="J27" s="60"/>
      <c r="K27" s="17">
        <v>64</v>
      </c>
      <c r="L27" s="42">
        <f t="shared" si="1"/>
        <v>4.9603174603174605</v>
      </c>
      <c r="M27" s="25"/>
      <c r="N27" s="25"/>
    </row>
    <row r="28" spans="5:20" ht="16" thickBot="1" x14ac:dyDescent="0.25">
      <c r="H28" s="25"/>
      <c r="I28" s="25"/>
      <c r="J28" s="60"/>
      <c r="K28" s="17">
        <v>128</v>
      </c>
      <c r="L28" s="42">
        <f t="shared" si="1"/>
        <v>2.4801587301587302</v>
      </c>
      <c r="M28" s="25"/>
      <c r="N28" s="25"/>
    </row>
    <row r="29" spans="5:20" ht="16" thickBot="1" x14ac:dyDescent="0.25">
      <c r="H29" s="25"/>
      <c r="I29" s="25"/>
      <c r="J29" s="60"/>
      <c r="K29" s="17">
        <v>256</v>
      </c>
      <c r="L29" s="42">
        <f t="shared" si="1"/>
        <v>1.2400793650793651</v>
      </c>
      <c r="M29" s="25"/>
      <c r="N29" s="25"/>
    </row>
    <row r="30" spans="5:20" ht="16" thickBot="1" x14ac:dyDescent="0.25">
      <c r="H30" s="25"/>
      <c r="I30" s="25"/>
      <c r="J30" s="60"/>
      <c r="K30" s="17">
        <v>512</v>
      </c>
      <c r="L30" s="42">
        <f t="shared" si="1"/>
        <v>0.62003968253968256</v>
      </c>
      <c r="M30" s="25"/>
      <c r="N30" s="25"/>
    </row>
    <row r="31" spans="5:20" ht="16" thickBot="1" x14ac:dyDescent="0.25">
      <c r="H31" s="25"/>
      <c r="I31" s="25"/>
      <c r="J31" s="60"/>
      <c r="K31" s="17">
        <v>1024</v>
      </c>
      <c r="L31" s="42">
        <f t="shared" si="1"/>
        <v>0.31001984126984128</v>
      </c>
      <c r="M31" s="25"/>
      <c r="N31" s="25"/>
    </row>
    <row r="32" spans="5:20" ht="16" thickBot="1" x14ac:dyDescent="0.25">
      <c r="H32" s="25"/>
      <c r="I32" s="25"/>
      <c r="J32" s="60"/>
      <c r="K32" s="17">
        <v>2048</v>
      </c>
      <c r="L32" s="42">
        <f t="shared" si="1"/>
        <v>0.15500992063492064</v>
      </c>
      <c r="M32" s="25"/>
      <c r="N32" s="25"/>
    </row>
    <row r="33" spans="8:14" ht="16" thickBot="1" x14ac:dyDescent="0.25">
      <c r="H33" s="25"/>
      <c r="I33" s="25"/>
      <c r="J33" s="60"/>
      <c r="K33" s="17">
        <v>4096</v>
      </c>
      <c r="L33" s="42">
        <f t="shared" si="1"/>
        <v>7.750496031746032E-2</v>
      </c>
      <c r="M33" s="25"/>
      <c r="N33" s="25"/>
    </row>
    <row r="34" spans="8:14" ht="16" thickBot="1" x14ac:dyDescent="0.25">
      <c r="H34" s="25"/>
      <c r="I34" s="25"/>
      <c r="J34" s="60"/>
      <c r="K34" s="17">
        <v>8192</v>
      </c>
      <c r="L34" s="42">
        <f t="shared" si="1"/>
        <v>3.875248015873016E-2</v>
      </c>
      <c r="M34" s="25"/>
      <c r="N34" s="25"/>
    </row>
    <row r="35" spans="8:14" ht="16" thickBot="1" x14ac:dyDescent="0.25">
      <c r="H35" s="25"/>
      <c r="I35" s="25"/>
      <c r="J35" s="60"/>
      <c r="K35" s="17">
        <v>16384</v>
      </c>
      <c r="L35" s="42">
        <f t="shared" si="1"/>
        <v>1.937624007936508E-2</v>
      </c>
      <c r="M35" s="25"/>
      <c r="N35" s="25"/>
    </row>
    <row r="36" spans="8:14" ht="16" thickBot="1" x14ac:dyDescent="0.25">
      <c r="H36" s="25"/>
      <c r="I36" s="25"/>
      <c r="J36" s="61"/>
      <c r="K36" s="18">
        <v>32768</v>
      </c>
      <c r="L36" s="42">
        <f t="shared" si="1"/>
        <v>9.68812003968254E-3</v>
      </c>
      <c r="M36" s="25"/>
      <c r="N36" s="25"/>
    </row>
    <row r="37" spans="8:14" x14ac:dyDescent="0.2">
      <c r="H37" s="25"/>
      <c r="I37" s="25"/>
      <c r="J37" s="25"/>
      <c r="K37" s="25"/>
      <c r="L37" s="25"/>
      <c r="M37" s="25"/>
      <c r="N37" s="25"/>
    </row>
    <row r="38" spans="8:14" x14ac:dyDescent="0.2">
      <c r="H38" s="25"/>
      <c r="I38" s="25"/>
      <c r="J38" s="25"/>
      <c r="K38" s="25"/>
      <c r="L38" s="25"/>
      <c r="M38" s="25"/>
      <c r="N38" s="25"/>
    </row>
    <row r="39" spans="8:14" ht="16" thickBot="1" x14ac:dyDescent="0.25">
      <c r="H39" s="25"/>
      <c r="I39" s="25"/>
      <c r="J39" s="25"/>
      <c r="K39" s="25"/>
      <c r="L39" s="25"/>
      <c r="M39" s="25"/>
      <c r="N39" s="25"/>
    </row>
    <row r="40" spans="8:14" ht="16" thickBot="1" x14ac:dyDescent="0.25">
      <c r="H40" s="25"/>
      <c r="I40" s="47" t="s">
        <v>18</v>
      </c>
      <c r="J40" s="48"/>
      <c r="K40" s="48"/>
      <c r="L40" s="48"/>
      <c r="M40" s="49"/>
      <c r="N40" s="26"/>
    </row>
    <row r="41" spans="8:14" ht="16" thickBot="1" x14ac:dyDescent="0.25">
      <c r="H41" s="25"/>
      <c r="I41" s="6" t="s">
        <v>5</v>
      </c>
      <c r="J41" s="7" t="s">
        <v>15</v>
      </c>
      <c r="K41" s="8" t="s">
        <v>2</v>
      </c>
      <c r="L41" s="7" t="s">
        <v>16</v>
      </c>
      <c r="M41" s="19" t="s">
        <v>17</v>
      </c>
      <c r="N41" s="26"/>
    </row>
    <row r="42" spans="8:14" x14ac:dyDescent="0.2">
      <c r="H42" s="25"/>
      <c r="I42" s="50">
        <v>320000</v>
      </c>
      <c r="J42" s="53">
        <v>50</v>
      </c>
      <c r="K42" s="9">
        <v>1</v>
      </c>
      <c r="L42" s="12">
        <f>($E$8/($I$42*4*K42))-1</f>
        <v>24</v>
      </c>
      <c r="M42" s="40">
        <f>(J42*4*(L42+1))/100</f>
        <v>50</v>
      </c>
      <c r="N42" s="30"/>
    </row>
    <row r="43" spans="8:14" x14ac:dyDescent="0.2">
      <c r="H43" s="25"/>
      <c r="I43" s="51"/>
      <c r="J43" s="54"/>
      <c r="K43" s="9">
        <v>4</v>
      </c>
      <c r="L43" s="10">
        <f t="shared" ref="L43:L44" si="2">($E$8/($I$42*4*K43))-1</f>
        <v>5.25</v>
      </c>
      <c r="M43" s="40">
        <f t="shared" ref="M43:M44" si="3">(L43+1)*($J$42/100)</f>
        <v>3.125</v>
      </c>
      <c r="N43" s="30"/>
    </row>
    <row r="44" spans="8:14" ht="16" thickBot="1" x14ac:dyDescent="0.25">
      <c r="H44" s="25"/>
      <c r="I44" s="52"/>
      <c r="J44" s="55"/>
      <c r="K44" s="13">
        <v>16</v>
      </c>
      <c r="L44" s="11">
        <f t="shared" si="2"/>
        <v>0.5625</v>
      </c>
      <c r="M44" s="41">
        <f t="shared" si="3"/>
        <v>0.78125</v>
      </c>
      <c r="N44" s="30"/>
    </row>
    <row r="45" spans="8:14" x14ac:dyDescent="0.2">
      <c r="H45" s="25"/>
      <c r="I45" s="25"/>
      <c r="J45" s="25"/>
      <c r="K45" s="25"/>
      <c r="L45" s="25"/>
      <c r="M45" s="25"/>
      <c r="N45" s="25"/>
    </row>
    <row r="49" spans="9:9" x14ac:dyDescent="0.2">
      <c r="I49" s="74"/>
    </row>
    <row r="50" spans="9:9" x14ac:dyDescent="0.2">
      <c r="I50" s="74"/>
    </row>
    <row r="51" spans="9:9" x14ac:dyDescent="0.2">
      <c r="I51" s="74"/>
    </row>
  </sheetData>
  <mergeCells count="16">
    <mergeCell ref="I49:I51"/>
    <mergeCell ref="I40:M40"/>
    <mergeCell ref="I42:I44"/>
    <mergeCell ref="J42:J44"/>
    <mergeCell ref="C5:C7"/>
    <mergeCell ref="Q5:Q8"/>
    <mergeCell ref="Q9:Q11"/>
    <mergeCell ref="R14:S14"/>
    <mergeCell ref="J22:J36"/>
    <mergeCell ref="J6:J21"/>
    <mergeCell ref="B2:F2"/>
    <mergeCell ref="H2:N2"/>
    <mergeCell ref="P2:T2"/>
    <mergeCell ref="C4:E4"/>
    <mergeCell ref="J4:L4"/>
    <mergeCell ref="Q4:S4"/>
  </mergeCells>
  <conditionalFormatting sqref="L6:L21">
    <cfRule type="cellIs" dxfId="8" priority="7" operator="lessThan">
      <formula>1</formula>
    </cfRule>
    <cfRule type="cellIs" dxfId="7" priority="10" operator="between">
      <formula>0</formula>
      <formula>255</formula>
    </cfRule>
  </conditionalFormatting>
  <conditionalFormatting sqref="L22:L36">
    <cfRule type="cellIs" dxfId="6" priority="9" operator="between">
      <formula>1</formula>
      <formula>65535</formula>
    </cfRule>
    <cfRule type="cellIs" dxfId="5" priority="11" operator="lessThan">
      <formula>1</formula>
    </cfRule>
  </conditionalFormatting>
  <conditionalFormatting sqref="L42:M44">
    <cfRule type="cellIs" dxfId="4" priority="3" operator="lessThan">
      <formula>0</formula>
    </cfRule>
    <cfRule type="cellIs" dxfId="3" priority="4" operator="greaterThanOrEqual">
      <formula>255</formula>
    </cfRule>
    <cfRule type="cellIs" dxfId="2" priority="8" operator="between">
      <formula>0</formula>
      <formula>255</formula>
    </cfRule>
  </conditionalFormatting>
  <conditionalFormatting sqref="Q14">
    <cfRule type="cellIs" dxfId="1" priority="1" operator="greaterThan">
      <formula>1</formula>
    </cfRule>
    <cfRule type="cellIs" dxfId="0" priority="2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40Mhz</vt:lpstr>
      <vt:lpstr>32KHz</vt:lpstr>
      <vt:lpstr>'40Mhz'!result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Mercader</dc:creator>
  <cp:lastModifiedBy>Enrique Mercader</cp:lastModifiedBy>
  <dcterms:created xsi:type="dcterms:W3CDTF">2023-10-24T18:49:20Z</dcterms:created>
  <dcterms:modified xsi:type="dcterms:W3CDTF">2026-04-28T19:03:18Z</dcterms:modified>
</cp:coreProperties>
</file>